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leon/Downloads/"/>
    </mc:Choice>
  </mc:AlternateContent>
  <xr:revisionPtr revIDLastSave="0" documentId="13_ncr:1_{303337B9-5B49-B84A-BBC3-2BBFD011BF3F}" xr6:coauthVersionLast="47" xr6:coauthVersionMax="47" xr10:uidLastSave="{00000000-0000-0000-0000-000000000000}"/>
  <bookViews>
    <workbookView xWindow="0" yWindow="660" windowWidth="30240" windowHeight="17340" xr2:uid="{00000000-000D-0000-FFFF-FFFF00000000}"/>
  </bookViews>
  <sheets>
    <sheet name="Sources &amp; Method" sheetId="8" r:id="rId1"/>
    <sheet name="Assumptions" sheetId="1" r:id="rId2"/>
    <sheet name="Jira Workload" sheetId="2" r:id="rId3"/>
    <sheet name="Labour Cost" sheetId="3" r:id="rId4"/>
    <sheet name="Resources" sheetId="4" r:id="rId5"/>
    <sheet name="Tools" sheetId="5" r:id="rId6"/>
    <sheet name="Cost Summary" sheetId="6" r:id="rId7"/>
    <sheet name="Sensitivity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6" i="7"/>
  <c r="B5" i="7"/>
  <c r="B4" i="7"/>
  <c r="B5" i="6"/>
  <c r="C14" i="5"/>
  <c r="E8" i="4"/>
  <c r="E7" i="4"/>
  <c r="E6" i="4"/>
  <c r="E5" i="4"/>
  <c r="E4" i="4"/>
  <c r="E9" i="4" s="1"/>
  <c r="B6" i="6" s="1"/>
  <c r="C29" i="3"/>
  <c r="D28" i="3"/>
  <c r="E28" i="3" s="1"/>
  <c r="D27" i="3"/>
  <c r="E27" i="3" s="1"/>
  <c r="D26" i="3"/>
  <c r="E26" i="3" s="1"/>
  <c r="B18" i="6" s="1"/>
  <c r="D25" i="3"/>
  <c r="E25" i="3" s="1"/>
  <c r="D24" i="3"/>
  <c r="E24" i="3" s="1"/>
  <c r="D23" i="3"/>
  <c r="E23" i="3" s="1"/>
  <c r="D22" i="3"/>
  <c r="E22" i="3" s="1"/>
  <c r="B17" i="6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B15" i="6" s="1"/>
  <c r="D9" i="3"/>
  <c r="E9" i="3" s="1"/>
  <c r="D8" i="3"/>
  <c r="E8" i="3" s="1"/>
  <c r="D7" i="3"/>
  <c r="E7" i="3" s="1"/>
  <c r="B14" i="6" s="1"/>
  <c r="D6" i="3"/>
  <c r="E6" i="3" s="1"/>
  <c r="D5" i="3"/>
  <c r="E5" i="3" s="1"/>
  <c r="D4" i="3"/>
  <c r="E4" i="3" s="1"/>
  <c r="E29" i="3" l="1"/>
  <c r="B4" i="6" s="1"/>
  <c r="B13" i="6"/>
  <c r="B16" i="6"/>
  <c r="B7" i="6" l="1"/>
  <c r="C4" i="6" s="1"/>
  <c r="C4" i="7"/>
  <c r="D4" i="7" s="1"/>
  <c r="E4" i="7" s="1"/>
  <c r="C5" i="7"/>
  <c r="D5" i="7" s="1"/>
  <c r="E5" i="7" s="1"/>
  <c r="C6" i="7"/>
  <c r="D6" i="7" s="1"/>
  <c r="E6" i="7" s="1"/>
  <c r="C6" i="6" l="1"/>
  <c r="C5" i="6"/>
  <c r="B8" i="6"/>
  <c r="B9" i="6"/>
</calcChain>
</file>

<file path=xl/sharedStrings.xml><?xml version="1.0" encoding="utf-8"?>
<sst xmlns="http://schemas.openxmlformats.org/spreadsheetml/2006/main" count="316" uniqueCount="224">
  <si>
    <t>01  |  MODEL ASSUMPTIONS</t>
  </si>
  <si>
    <t>Input</t>
  </si>
  <si>
    <t>Value</t>
  </si>
  <si>
    <t>Unit / Definition</t>
  </si>
  <si>
    <t>Basis / Source</t>
  </si>
  <si>
    <t>Team members</t>
  </si>
  <si>
    <t>people</t>
  </si>
  <si>
    <t>Project team / Jira context</t>
  </si>
  <si>
    <t>Project duration</t>
  </si>
  <si>
    <t>weeks</t>
  </si>
  <si>
    <t>Project planning assumption</t>
  </si>
  <si>
    <t>Normalised subtask count</t>
  </si>
  <si>
    <t>equivalent subtasks</t>
  </si>
  <si>
    <t>Jira Oct 27 16:30; reference average 4.53</t>
  </si>
  <si>
    <t>Reference subtasks per story</t>
  </si>
  <si>
    <t>subtasks/story</t>
  </si>
  <si>
    <t>Other 15 stories: 68 / 15</t>
  </si>
  <si>
    <t>Requirements hourly rate</t>
  </si>
  <si>
    <t>NZD/hour</t>
  </si>
  <si>
    <t>Management hourly rate</t>
  </si>
  <si>
    <t>Architecture hourly rate</t>
  </si>
  <si>
    <t>Development hourly rate</t>
  </si>
  <si>
    <t>Testing hourly rate</t>
  </si>
  <si>
    <t>Documentation hourly rate</t>
  </si>
  <si>
    <t>Laptop value</t>
  </si>
  <si>
    <t>NZD/device</t>
  </si>
  <si>
    <t>Planning assumption</t>
  </si>
  <si>
    <t>Laptop life</t>
  </si>
  <si>
    <t>months</t>
  </si>
  <si>
    <t>Straight-line allocation assumption</t>
  </si>
  <si>
    <t>Project laptop allocation</t>
  </si>
  <si>
    <t>Approximation for three-week project</t>
  </si>
  <si>
    <t>Home office allocation</t>
  </si>
  <si>
    <t>NZD/member/week</t>
  </si>
  <si>
    <t>Electricity allocation</t>
  </si>
  <si>
    <t>Internet allocation</t>
  </si>
  <si>
    <t>Contingency rate</t>
  </si>
  <si>
    <t>fraction of base cost</t>
  </si>
  <si>
    <t>Budget policy assumption</t>
  </si>
  <si>
    <t>Effort sensitivity</t>
  </si>
  <si>
    <t>fraction</t>
  </si>
  <si>
    <t>Scenario assumption</t>
  </si>
  <si>
    <t>02  |  JIRA WORKLOAD BASELINE</t>
  </si>
  <si>
    <t>Metric</t>
  </si>
  <si>
    <t>Count</t>
  </si>
  <si>
    <t>Treatment / Notes</t>
  </si>
  <si>
    <t>Source</t>
  </si>
  <si>
    <t>Epics</t>
  </si>
  <si>
    <t>Scope grouping only</t>
  </si>
  <si>
    <t>Stories</t>
  </si>
  <si>
    <t>Functional scope</t>
  </si>
  <si>
    <t>Jira export</t>
  </si>
  <si>
    <t>Tasks</t>
  </si>
  <si>
    <t>Planning and project setup</t>
  </si>
  <si>
    <t>Subtasks</t>
  </si>
  <si>
    <t>Raw issue count</t>
  </si>
  <si>
    <t>Subtasks Done</t>
  </si>
  <si>
    <t>Status at export</t>
  </si>
  <si>
    <t>Subtasks In Progress</t>
  </si>
  <si>
    <t>Subtasks To Do</t>
  </si>
  <si>
    <t>Subtasks linked to Stories</t>
  </si>
  <si>
    <t>One subtask not linked to Story</t>
  </si>
  <si>
    <t>Reference Stories</t>
  </si>
  <si>
    <t>Excludes exceptionally granular decomposition</t>
  </si>
  <si>
    <t>Jira normalisation calculation</t>
  </si>
  <si>
    <t>Reference linked Subtasks</t>
  </si>
  <si>
    <t>Reference sample for normalisation</t>
  </si>
  <si>
    <t>Average Subtasks per Story</t>
  </si>
  <si>
    <t>Reference sample average</t>
  </si>
  <si>
    <t>Calculated</t>
  </si>
  <si>
    <t>Normalised equivalent Subtasks</t>
  </si>
  <si>
    <t>Comparable workload indicator; not hours</t>
  </si>
  <si>
    <t>Recorded Worklogs</t>
  </si>
  <si>
    <t>Hours not available; estimates used</t>
  </si>
  <si>
    <t>03  |  LABOUR COST ESTIMATE</t>
  </si>
  <si>
    <t>Activity</t>
  </si>
  <si>
    <t>Jira / Workstream</t>
  </si>
  <si>
    <t>Hours</t>
  </si>
  <si>
    <t>Rate (NZD/h)</t>
  </si>
  <si>
    <t>Cost (NZD)</t>
  </si>
  <si>
    <t>Basis</t>
  </si>
  <si>
    <t>Requirements Analysis</t>
  </si>
  <si>
    <t>AKO-26 — Requirements and acceptance criteria</t>
  </si>
  <si>
    <t>Activity estimate; Jira-linked where applicable</t>
  </si>
  <si>
    <t>AKO-28 — MVP scope and prioritisation</t>
  </si>
  <si>
    <t>Stakeholder discussions and requirements refinement</t>
  </si>
  <si>
    <t>Project Management</t>
  </si>
  <si>
    <t>AKO-27 — Jira setup and backlog</t>
  </si>
  <si>
    <t>AKO-29 — Sprint planning and responsibilities</t>
  </si>
  <si>
    <t>Sprint coordination, reviews and meeting records</t>
  </si>
  <si>
    <t>Architecture</t>
  </si>
  <si>
    <t>AKO-30 — Technical architecture</t>
  </si>
  <si>
    <t>AKO-31 — Repository and development workflow</t>
  </si>
  <si>
    <t>Database, RBAC, UML and UI design</t>
  </si>
  <si>
    <t>Development</t>
  </si>
  <si>
    <t>AKO-8/9 — Authentication and staff accounts</t>
  </si>
  <si>
    <t>AKO-10/12/13/22/23 — Learners and attendance</t>
  </si>
  <si>
    <t>AKO-11 — Class sessions</t>
  </si>
  <si>
    <t>AKO-14/16/21 — Lesson library and shared materials</t>
  </si>
  <si>
    <t>AKO-15 — Māori content review</t>
  </si>
  <si>
    <t>AKO-17/18 — Club information and enquiries</t>
  </si>
  <si>
    <t>AKO-19/20 — QR attendance functions</t>
  </si>
  <si>
    <t>AKO-24 — CSV learner import</t>
  </si>
  <si>
    <t>Cross-feature debugging and adjustments</t>
  </si>
  <si>
    <t>Testing</t>
  </si>
  <si>
    <t>Test planning and acceptance test design</t>
  </si>
  <si>
    <t>Unit and functional testing</t>
  </si>
  <si>
    <t>Integration and acceptance testing</t>
  </si>
  <si>
    <t>Regression testing and defect verification</t>
  </si>
  <si>
    <t>Documentation</t>
  </si>
  <si>
    <t>Technical and project documentation</t>
  </si>
  <si>
    <t>Project report preparation</t>
  </si>
  <si>
    <t>Presentation and delivery preparation</t>
  </si>
  <si>
    <t>TOTAL LABOUR</t>
  </si>
  <si>
    <t>04  |  ALLOCATED RESOURCES</t>
  </si>
  <si>
    <t>Resource</t>
  </si>
  <si>
    <t>Units / People</t>
  </si>
  <si>
    <t>Unit Cost / Rate</t>
  </si>
  <si>
    <t>Duration / Basis</t>
  </si>
  <si>
    <t>Calculation Note</t>
  </si>
  <si>
    <t>Laptops</t>
  </si>
  <si>
    <t>4 × laptop value ÷ useful life × allocation months</t>
  </si>
  <si>
    <t>Home office</t>
  </si>
  <si>
    <t>4 members × weekly allocation × 3 weeks</t>
  </si>
  <si>
    <t>Electricity</t>
  </si>
  <si>
    <t>Internet</t>
  </si>
  <si>
    <t>Cloud hosting</t>
  </si>
  <si>
    <t>No paid hosting assumed</t>
  </si>
  <si>
    <t>TOTAL RESOURCES</t>
  </si>
  <si>
    <t>05  |  SOFTWARE &amp; TOOL COSTS</t>
  </si>
  <si>
    <t>Tool</t>
  </si>
  <si>
    <t>Purpose</t>
  </si>
  <si>
    <t>Licence / Assumption</t>
  </si>
  <si>
    <t>Jira Free</t>
  </si>
  <si>
    <t>Agile project management</t>
  </si>
  <si>
    <t>Free/open-source or no additional licence cost</t>
  </si>
  <si>
    <t>GitHub Free</t>
  </si>
  <si>
    <t>Version control</t>
  </si>
  <si>
    <t>Visual Studio Code</t>
  </si>
  <si>
    <t>Development environment</t>
  </si>
  <si>
    <t>Microsoft Teams</t>
  </si>
  <si>
    <t>Communication</t>
  </si>
  <si>
    <t>Next.js</t>
  </si>
  <si>
    <t>Frontend framework</t>
  </si>
  <si>
    <t>React</t>
  </si>
  <si>
    <t>UI development</t>
  </si>
  <si>
    <t>FastAPI</t>
  </si>
  <si>
    <t>Backend API</t>
  </si>
  <si>
    <t>PostgreSQL</t>
  </si>
  <si>
    <t>Database</t>
  </si>
  <si>
    <t>Docker</t>
  </si>
  <si>
    <t>Containerised development</t>
  </si>
  <si>
    <t>Nginx</t>
  </si>
  <si>
    <t>Web server and routing</t>
  </si>
  <si>
    <t>TOTAL TOOLS</t>
  </si>
  <si>
    <t>06  |  PROJECT COST SUMMARY</t>
  </si>
  <si>
    <t>Category</t>
  </si>
  <si>
    <t>Share of Base</t>
  </si>
  <si>
    <t>Interpretation</t>
  </si>
  <si>
    <t>Labour</t>
  </si>
  <si>
    <t>Market-valued development effort</t>
  </si>
  <si>
    <t>Tools</t>
  </si>
  <si>
    <t>Free and open-source software</t>
  </si>
  <si>
    <t>Resources</t>
  </si>
  <si>
    <t>Allocated equipment and household resources</t>
  </si>
  <si>
    <t>BASE DEVELOPMENT COST</t>
  </si>
  <si>
    <t>Economic cost excluding reserve</t>
  </si>
  <si>
    <t>Contingency (10%)</t>
  </si>
  <si>
    <t>Budget allowance, not incurred expenditure</t>
  </si>
  <si>
    <t>TOTAL PROJECT BUDGET</t>
  </si>
  <si>
    <t>Base cost plus contingency</t>
  </si>
  <si>
    <t>Labour activity</t>
  </si>
  <si>
    <t>07  |  COST SENSITIVITY</t>
  </si>
  <si>
    <t>Scenario</t>
  </si>
  <si>
    <t>Labour Multiplier</t>
  </si>
  <si>
    <t>Labour Cost (NZD)</t>
  </si>
  <si>
    <t>Base Cost (NZD)</t>
  </si>
  <si>
    <t>Budget with 10% Reserve</t>
  </si>
  <si>
    <t>Low (−10%)</t>
  </si>
  <si>
    <t>Base</t>
  </si>
  <si>
    <t>High (+10%)</t>
  </si>
  <si>
    <t>The same scenarios apply to proportional hourly-rate changes with hours held constant.</t>
  </si>
  <si>
    <t>Reference / Topic</t>
  </si>
  <si>
    <t>Details</t>
  </si>
  <si>
    <t>Source / Link</t>
  </si>
  <si>
    <t>Status</t>
  </si>
  <si>
    <t>Jira baseline</t>
  </si>
  <si>
    <t>4 Epics, 17 Stories, 6 Tasks, 117 Subtasks; 110 Done, 3 In Progress, 4 To Do.</t>
  </si>
  <si>
    <t>Project source</t>
  </si>
  <si>
    <t>Subtask normalisation</t>
  </si>
  <si>
    <t>Different decomposition granularity; reference mean 68/15=4.53, approximately 77 equivalent subtasks.</t>
  </si>
  <si>
    <t>Jira export / project estimation convention</t>
  </si>
  <si>
    <t>Assumption</t>
  </si>
  <si>
    <t>Labour estimation</t>
  </si>
  <si>
    <t>260 hours allocated by activity; not directly recorded worklogs.</t>
  </si>
  <si>
    <t>Labour Cost sheet</t>
  </si>
  <si>
    <t>Planning estimate</t>
  </si>
  <si>
    <t>Labour rate benchmarks</t>
  </si>
  <si>
    <t>Rates NZ$75–110/h are budget inputs pending market-source verification.</t>
  </si>
  <si>
    <t>New Zealand salary guide reference; verify comparable hourly contract basis.</t>
  </si>
  <si>
    <t>Laptop depreciation</t>
  </si>
  <si>
    <t>Straight-line 36-month allocation; 0.75 month approximates 3 weeks.</t>
  </si>
  <si>
    <t>Assumptions sheet</t>
  </si>
  <si>
    <t>Cash vs economic cost</t>
  </si>
  <si>
    <t>Student labour is valued economically; not treated as paid wages.</t>
  </si>
  <si>
    <t>Cost Summary and Resources</t>
  </si>
  <si>
    <t>Method</t>
  </si>
  <si>
    <t>Contingency</t>
  </si>
  <si>
    <t>10% of base economic development cost.</t>
  </si>
  <si>
    <t>Sensitivity</t>
  </si>
  <si>
    <t>±10% labour hours or hourly rates; other costs unchanged.</t>
  </si>
  <si>
    <t>Sensitivity sheet</t>
  </si>
  <si>
    <t>00  |  METHODOLOGY &amp; SOURCES</t>
  </si>
  <si>
    <t>Ako_Project.xlsx</t>
  </si>
  <si>
    <t>Market reference</t>
  </si>
  <si>
    <t>Additional rate benchmark</t>
  </si>
  <si>
    <t>https://www.betterworldofwork.io/more-than-money/search-salaries</t>
  </si>
  <si>
    <t>H2R Technology — Business Analyst</t>
  </si>
  <si>
    <t>H2R Technology — IT Project Manager</t>
  </si>
  <si>
    <t>H2R Technology — IT Architect</t>
  </si>
  <si>
    <t>H2R Technology — Web Developer</t>
  </si>
  <si>
    <t>H2R Technology — Testing / QA</t>
  </si>
  <si>
    <t>Better World of Work — Technical Writer</t>
  </si>
  <si>
    <t>https://www.h2r.co.nz/h2r-consulting/services/contractors/salary-vs-hourly-rate/contractor-hourly-rate-guide/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</si>
</sst>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#,##0.00;[Red]\(#,##0.00\);\-"/>
    <numFmt numFmtId="166" formatCode="0.00\x"/>
  </numFmts>
  <fonts count="6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87E8B"/>
      </patternFill>
    </fill>
    <fill>
      <patternFill patternType="solid">
        <fgColor rgb="FFEAF3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0" xfId="0" applyFont="1" applyFill="1" applyAlignment="1">
      <alignment wrapText="1"/>
    </xf>
    <xf numFmtId="0" fontId="3" fillId="0" borderId="0" xfId="0" applyFont="1"/>
    <xf numFmtId="0" fontId="4" fillId="4" borderId="0" xfId="0" applyFont="1" applyFill="1"/>
    <xf numFmtId="164" fontId="4" fillId="4" borderId="0" xfId="0" applyNumberFormat="1" applyFont="1" applyFill="1"/>
    <xf numFmtId="165" fontId="0" fillId="0" borderId="0" xfId="0" applyNumberFormat="1"/>
    <xf numFmtId="165" fontId="4" fillId="4" borderId="0" xfId="0" applyNumberFormat="1" applyFont="1" applyFill="1"/>
    <xf numFmtId="164" fontId="3" fillId="0" borderId="0" xfId="0" applyNumberFormat="1" applyFont="1"/>
    <xf numFmtId="10" fontId="0" fillId="0" borderId="0" xfId="0" applyNumberFormat="1"/>
    <xf numFmtId="166" fontId="0" fillId="0" borderId="0" xfId="0" applyNumberFormat="1"/>
    <xf numFmtId="0" fontId="5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Labour Cost by Activity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 (NZD)</c:v>
          </c:tx>
          <c:invertIfNegative val="1"/>
          <c:cat>
            <c:strRef>
              <c:f>'Cost Summary'!$A$13:$A$18</c:f>
              <c:strCache>
                <c:ptCount val="6"/>
                <c:pt idx="0">
                  <c:v>Requirements Analysis</c:v>
                </c:pt>
                <c:pt idx="1">
                  <c:v>Project Management</c:v>
                </c:pt>
                <c:pt idx="2">
                  <c:v>Architecture</c:v>
                </c:pt>
                <c:pt idx="3">
                  <c:v>Development</c:v>
                </c:pt>
                <c:pt idx="4">
                  <c:v>Testing</c:v>
                </c:pt>
                <c:pt idx="5">
                  <c:v>Documentation</c:v>
                </c:pt>
              </c:strCache>
            </c:strRef>
          </c:cat>
          <c:val>
            <c:numRef>
              <c:f>'Cost Summary'!$B$13:$B$18</c:f>
              <c:numCache>
                <c:formatCode>#,##0.00;[Red]\(#,##0.00\);\-</c:formatCode>
                <c:ptCount val="6"/>
                <c:pt idx="0">
                  <c:v>3325</c:v>
                </c:pt>
                <c:pt idx="1">
                  <c:v>3000</c:v>
                </c:pt>
                <c:pt idx="2">
                  <c:v>3850</c:v>
                </c:pt>
                <c:pt idx="3">
                  <c:v>10000</c:v>
                </c:pt>
                <c:pt idx="4">
                  <c:v>3325</c:v>
                </c:pt>
                <c:pt idx="5">
                  <c:v>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B-FA45-B97B-45FB60F2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;[Red]\(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165100</xdr:colOff>
      <xdr:row>11</xdr:row>
      <xdr:rowOff>25400</xdr:rowOff>
    </xdr:from>
    <xdr:to>
      <xdr:col>3</xdr:col>
      <xdr:colOff>3873500</xdr:colOff>
      <xdr:row>28</xdr:row>
      <xdr:rowOff>63500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etterworldofwork.io/more-than-money/search-salaries" TargetMode="External"/><Relationship Id="rId1" Type="http://schemas.openxmlformats.org/officeDocument/2006/relationships/hyperlink" Target="https://www.h2r.co.nz/h2r-consulting/services/contractors/salary-vs-hourly-rate/contractor-hourly-rate-guid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tabSelected="1" workbookViewId="0">
      <pane ySplit="3" topLeftCell="A4" activePane="bottomLeft" state="frozen"/>
      <selection pane="bottomLeft" activeCell="A34" sqref="A34"/>
    </sheetView>
  </sheetViews>
  <sheetFormatPr baseColWidth="10" defaultColWidth="8.83203125" defaultRowHeight="14"/>
  <cols>
    <col min="1" max="1" width="36" customWidth="1"/>
    <col min="2" max="2" width="80" customWidth="1"/>
    <col min="3" max="3" width="58.83203125" customWidth="1"/>
    <col min="4" max="4" width="22" customWidth="1"/>
  </cols>
  <sheetData>
    <row r="1" spans="1:4" ht="34" customHeight="1">
      <c r="A1" s="11" t="s">
        <v>212</v>
      </c>
      <c r="B1" s="11"/>
      <c r="C1" s="11"/>
      <c r="D1" s="11"/>
    </row>
    <row r="3" spans="1:4" ht="29" customHeight="1">
      <c r="A3" s="1" t="s">
        <v>182</v>
      </c>
      <c r="B3" s="1" t="s">
        <v>183</v>
      </c>
      <c r="C3" s="1" t="s">
        <v>184</v>
      </c>
      <c r="D3" s="1" t="s">
        <v>185</v>
      </c>
    </row>
    <row r="4" spans="1:4">
      <c r="A4" t="s">
        <v>186</v>
      </c>
      <c r="B4" t="s">
        <v>187</v>
      </c>
      <c r="C4" t="s">
        <v>213</v>
      </c>
      <c r="D4" t="s">
        <v>188</v>
      </c>
    </row>
    <row r="5" spans="1:4">
      <c r="A5" t="s">
        <v>189</v>
      </c>
      <c r="B5" t="s">
        <v>190</v>
      </c>
      <c r="C5" t="s">
        <v>191</v>
      </c>
      <c r="D5" t="s">
        <v>192</v>
      </c>
    </row>
    <row r="6" spans="1:4">
      <c r="A6" t="s">
        <v>193</v>
      </c>
      <c r="B6" t="s">
        <v>194</v>
      </c>
      <c r="C6" t="s">
        <v>195</v>
      </c>
      <c r="D6" t="s">
        <v>196</v>
      </c>
    </row>
    <row r="7" spans="1:4">
      <c r="A7" t="s">
        <v>197</v>
      </c>
      <c r="B7" t="s">
        <v>198</v>
      </c>
      <c r="C7" s="10" t="s">
        <v>223</v>
      </c>
      <c r="D7" t="s">
        <v>214</v>
      </c>
    </row>
    <row r="8" spans="1:4">
      <c r="A8" t="s">
        <v>215</v>
      </c>
      <c r="B8" t="s">
        <v>199</v>
      </c>
      <c r="C8" s="10" t="s">
        <v>216</v>
      </c>
      <c r="D8" t="s">
        <v>214</v>
      </c>
    </row>
    <row r="9" spans="1:4">
      <c r="A9" t="s">
        <v>200</v>
      </c>
      <c r="B9" t="s">
        <v>201</v>
      </c>
      <c r="C9" t="s">
        <v>202</v>
      </c>
      <c r="D9" t="s">
        <v>192</v>
      </c>
    </row>
    <row r="10" spans="1:4">
      <c r="A10" t="s">
        <v>203</v>
      </c>
      <c r="B10" t="s">
        <v>204</v>
      </c>
      <c r="C10" t="s">
        <v>205</v>
      </c>
      <c r="D10" t="s">
        <v>206</v>
      </c>
    </row>
    <row r="11" spans="1:4">
      <c r="A11" t="s">
        <v>207</v>
      </c>
      <c r="B11" t="s">
        <v>208</v>
      </c>
      <c r="C11" t="s">
        <v>202</v>
      </c>
      <c r="D11" t="s">
        <v>192</v>
      </c>
    </row>
    <row r="12" spans="1:4">
      <c r="A12" t="s">
        <v>209</v>
      </c>
      <c r="B12" t="s">
        <v>210</v>
      </c>
      <c r="C12" t="s">
        <v>211</v>
      </c>
      <c r="D12" t="s">
        <v>173</v>
      </c>
    </row>
  </sheetData>
  <mergeCells count="1">
    <mergeCell ref="A1:D1"/>
  </mergeCells>
  <hyperlinks>
    <hyperlink ref="C7" r:id="rId1" xr:uid="{B263F29F-087D-D14C-B6C8-4BA15D21B61E}"/>
    <hyperlink ref="C8" r:id="rId2" xr:uid="{62541FE1-F0CE-0143-B45E-87FC13CCCF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pane ySplit="3" topLeftCell="A4" activePane="bottomLeft" state="frozen"/>
      <selection pane="bottomLeft" activeCell="D7" sqref="D7"/>
    </sheetView>
  </sheetViews>
  <sheetFormatPr baseColWidth="10" defaultColWidth="8.83203125" defaultRowHeight="14"/>
  <cols>
    <col min="1" max="1" width="36" customWidth="1"/>
    <col min="2" max="2" width="20" customWidth="1"/>
    <col min="3" max="3" width="30" customWidth="1"/>
    <col min="4" max="4" width="65" customWidth="1"/>
  </cols>
  <sheetData>
    <row r="1" spans="1:4" ht="34" customHeight="1">
      <c r="A1" s="11" t="s">
        <v>0</v>
      </c>
      <c r="B1" s="11"/>
      <c r="C1" s="11"/>
      <c r="D1" s="11"/>
    </row>
    <row r="3" spans="1:4" ht="29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t="s">
        <v>5</v>
      </c>
      <c r="B4" s="2">
        <v>4</v>
      </c>
      <c r="C4" t="s">
        <v>6</v>
      </c>
      <c r="D4" t="s">
        <v>7</v>
      </c>
    </row>
    <row r="5" spans="1:4">
      <c r="A5" t="s">
        <v>8</v>
      </c>
      <c r="B5" s="2">
        <v>3</v>
      </c>
      <c r="C5" t="s">
        <v>9</v>
      </c>
      <c r="D5" t="s">
        <v>10</v>
      </c>
    </row>
    <row r="6" spans="1:4">
      <c r="A6" t="s">
        <v>11</v>
      </c>
      <c r="B6" s="2">
        <v>77.069999999999993</v>
      </c>
      <c r="C6" t="s">
        <v>12</v>
      </c>
      <c r="D6" t="s">
        <v>13</v>
      </c>
    </row>
    <row r="7" spans="1:4">
      <c r="A7" t="s">
        <v>14</v>
      </c>
      <c r="B7" s="2">
        <v>4.53</v>
      </c>
      <c r="C7" t="s">
        <v>15</v>
      </c>
      <c r="D7" t="s">
        <v>16</v>
      </c>
    </row>
    <row r="8" spans="1:4">
      <c r="A8" t="s">
        <v>17</v>
      </c>
      <c r="B8" s="2">
        <v>95</v>
      </c>
      <c r="C8" t="s">
        <v>18</v>
      </c>
      <c r="D8" t="s">
        <v>217</v>
      </c>
    </row>
    <row r="9" spans="1:4">
      <c r="A9" t="s">
        <v>19</v>
      </c>
      <c r="B9" s="2">
        <v>100</v>
      </c>
      <c r="C9" t="s">
        <v>18</v>
      </c>
      <c r="D9" t="s">
        <v>218</v>
      </c>
    </row>
    <row r="10" spans="1:4">
      <c r="A10" t="s">
        <v>20</v>
      </c>
      <c r="B10" s="2">
        <v>110</v>
      </c>
      <c r="C10" t="s">
        <v>18</v>
      </c>
      <c r="D10" t="s">
        <v>219</v>
      </c>
    </row>
    <row r="11" spans="1:4">
      <c r="A11" t="s">
        <v>21</v>
      </c>
      <c r="B11" s="2">
        <v>100</v>
      </c>
      <c r="C11" t="s">
        <v>18</v>
      </c>
      <c r="D11" t="s">
        <v>220</v>
      </c>
    </row>
    <row r="12" spans="1:4">
      <c r="A12" t="s">
        <v>22</v>
      </c>
      <c r="B12" s="2">
        <v>95</v>
      </c>
      <c r="C12" t="s">
        <v>18</v>
      </c>
      <c r="D12" t="s">
        <v>221</v>
      </c>
    </row>
    <row r="13" spans="1:4">
      <c r="A13" t="s">
        <v>23</v>
      </c>
      <c r="B13" s="2">
        <v>75</v>
      </c>
      <c r="C13" t="s">
        <v>18</v>
      </c>
      <c r="D13" t="s">
        <v>222</v>
      </c>
    </row>
    <row r="14" spans="1:4">
      <c r="A14" t="s">
        <v>24</v>
      </c>
      <c r="B14" s="2">
        <v>2000</v>
      </c>
      <c r="C14" t="s">
        <v>25</v>
      </c>
      <c r="D14" t="s">
        <v>26</v>
      </c>
    </row>
    <row r="15" spans="1:4">
      <c r="A15" t="s">
        <v>27</v>
      </c>
      <c r="B15" s="2">
        <v>36</v>
      </c>
      <c r="C15" t="s">
        <v>28</v>
      </c>
      <c r="D15" t="s">
        <v>29</v>
      </c>
    </row>
    <row r="16" spans="1:4">
      <c r="A16" t="s">
        <v>30</v>
      </c>
      <c r="B16" s="2">
        <v>0.75</v>
      </c>
      <c r="C16" t="s">
        <v>28</v>
      </c>
      <c r="D16" t="s">
        <v>31</v>
      </c>
    </row>
    <row r="17" spans="1:4">
      <c r="A17" t="s">
        <v>32</v>
      </c>
      <c r="B17" s="2">
        <v>15</v>
      </c>
      <c r="C17" t="s">
        <v>33</v>
      </c>
      <c r="D17" t="s">
        <v>26</v>
      </c>
    </row>
    <row r="18" spans="1:4">
      <c r="A18" t="s">
        <v>34</v>
      </c>
      <c r="B18" s="2">
        <v>2</v>
      </c>
      <c r="C18" t="s">
        <v>33</v>
      </c>
      <c r="D18" t="s">
        <v>26</v>
      </c>
    </row>
    <row r="19" spans="1:4">
      <c r="A19" t="s">
        <v>35</v>
      </c>
      <c r="B19" s="2">
        <v>3</v>
      </c>
      <c r="C19" t="s">
        <v>33</v>
      </c>
      <c r="D19" t="s">
        <v>26</v>
      </c>
    </row>
    <row r="20" spans="1:4">
      <c r="A20" t="s">
        <v>36</v>
      </c>
      <c r="B20" s="2">
        <v>0.1</v>
      </c>
      <c r="C20" t="s">
        <v>37</v>
      </c>
      <c r="D20" t="s">
        <v>38</v>
      </c>
    </row>
    <row r="21" spans="1:4">
      <c r="A21" t="s">
        <v>39</v>
      </c>
      <c r="B21" s="2">
        <v>0.1</v>
      </c>
      <c r="C21" t="s">
        <v>40</v>
      </c>
      <c r="D21" t="s">
        <v>41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3" topLeftCell="A4" activePane="bottomLeft" state="frozen"/>
      <selection pane="bottomLeft" activeCell="D12" sqref="D12"/>
    </sheetView>
  </sheetViews>
  <sheetFormatPr baseColWidth="10" defaultColWidth="8.83203125" defaultRowHeight="14"/>
  <cols>
    <col min="1" max="1" width="34" customWidth="1"/>
    <col min="2" max="2" width="16" customWidth="1"/>
    <col min="3" max="3" width="64" customWidth="1"/>
    <col min="4" max="4" width="45" customWidth="1"/>
  </cols>
  <sheetData>
    <row r="1" spans="1:4" ht="34" customHeight="1">
      <c r="A1" s="11" t="s">
        <v>42</v>
      </c>
      <c r="B1" s="11"/>
      <c r="C1" s="11"/>
      <c r="D1" s="11"/>
    </row>
    <row r="3" spans="1:4" ht="29" customHeight="1">
      <c r="A3" s="1" t="s">
        <v>43</v>
      </c>
      <c r="B3" s="1" t="s">
        <v>44</v>
      </c>
      <c r="C3" s="1" t="s">
        <v>45</v>
      </c>
      <c r="D3" s="1" t="s">
        <v>46</v>
      </c>
    </row>
    <row r="4" spans="1:4">
      <c r="A4" t="s">
        <v>47</v>
      </c>
      <c r="B4">
        <v>4</v>
      </c>
      <c r="C4" t="s">
        <v>48</v>
      </c>
      <c r="D4" t="s">
        <v>51</v>
      </c>
    </row>
    <row r="5" spans="1:4">
      <c r="A5" t="s">
        <v>49</v>
      </c>
      <c r="B5">
        <v>17</v>
      </c>
      <c r="C5" t="s">
        <v>50</v>
      </c>
      <c r="D5" t="s">
        <v>51</v>
      </c>
    </row>
    <row r="6" spans="1:4">
      <c r="A6" t="s">
        <v>52</v>
      </c>
      <c r="B6">
        <v>6</v>
      </c>
      <c r="C6" t="s">
        <v>53</v>
      </c>
      <c r="D6" t="s">
        <v>51</v>
      </c>
    </row>
    <row r="7" spans="1:4">
      <c r="A7" t="s">
        <v>54</v>
      </c>
      <c r="B7">
        <v>117</v>
      </c>
      <c r="C7" t="s">
        <v>55</v>
      </c>
      <c r="D7" t="s">
        <v>51</v>
      </c>
    </row>
    <row r="8" spans="1:4">
      <c r="A8" t="s">
        <v>56</v>
      </c>
      <c r="B8">
        <v>110</v>
      </c>
      <c r="C8" t="s">
        <v>57</v>
      </c>
      <c r="D8" t="s">
        <v>51</v>
      </c>
    </row>
    <row r="9" spans="1:4">
      <c r="A9" t="s">
        <v>58</v>
      </c>
      <c r="B9">
        <v>3</v>
      </c>
      <c r="C9" t="s">
        <v>57</v>
      </c>
      <c r="D9" t="s">
        <v>51</v>
      </c>
    </row>
    <row r="10" spans="1:4">
      <c r="A10" t="s">
        <v>59</v>
      </c>
      <c r="B10">
        <v>4</v>
      </c>
      <c r="C10" t="s">
        <v>57</v>
      </c>
      <c r="D10" t="s">
        <v>51</v>
      </c>
    </row>
    <row r="11" spans="1:4">
      <c r="A11" t="s">
        <v>60</v>
      </c>
      <c r="B11">
        <v>116</v>
      </c>
      <c r="C11" t="s">
        <v>61</v>
      </c>
      <c r="D11" t="s">
        <v>51</v>
      </c>
    </row>
    <row r="12" spans="1:4">
      <c r="A12" t="s">
        <v>62</v>
      </c>
      <c r="B12">
        <v>15</v>
      </c>
      <c r="C12" t="s">
        <v>63</v>
      </c>
      <c r="D12" t="s">
        <v>64</v>
      </c>
    </row>
    <row r="13" spans="1:4">
      <c r="A13" t="s">
        <v>65</v>
      </c>
      <c r="B13">
        <v>68</v>
      </c>
      <c r="C13" t="s">
        <v>66</v>
      </c>
      <c r="D13" t="s">
        <v>64</v>
      </c>
    </row>
    <row r="14" spans="1:4">
      <c r="A14" t="s">
        <v>67</v>
      </c>
      <c r="B14">
        <f>ROUND(B13/B12,2)</f>
        <v>4.53</v>
      </c>
      <c r="C14" t="s">
        <v>68</v>
      </c>
      <c r="D14" t="s">
        <v>69</v>
      </c>
    </row>
    <row r="15" spans="1:4">
      <c r="A15" t="s">
        <v>70</v>
      </c>
      <c r="B15">
        <f>ROUND(B13+2*(B13/B12),0)</f>
        <v>77</v>
      </c>
      <c r="C15" t="s">
        <v>71</v>
      </c>
      <c r="D15" t="s">
        <v>69</v>
      </c>
    </row>
    <row r="16" spans="1:4">
      <c r="A16" t="s">
        <v>72</v>
      </c>
      <c r="B16">
        <v>0</v>
      </c>
      <c r="C16" t="s">
        <v>73</v>
      </c>
      <c r="D16" t="s">
        <v>51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4"/>
  <cols>
    <col min="1" max="1" width="35" customWidth="1"/>
    <col min="2" max="2" width="45" customWidth="1"/>
    <col min="3" max="3" width="15" customWidth="1"/>
    <col min="4" max="4" width="20" customWidth="1"/>
    <col min="5" max="5" width="22" customWidth="1"/>
    <col min="6" max="6" width="48" customWidth="1"/>
  </cols>
  <sheetData>
    <row r="1" spans="1:6" ht="34" customHeight="1">
      <c r="A1" s="11" t="s">
        <v>74</v>
      </c>
      <c r="B1" s="11"/>
      <c r="C1" s="11"/>
      <c r="D1" s="11"/>
      <c r="E1" s="11"/>
      <c r="F1" s="11"/>
    </row>
    <row r="3" spans="1:6" ht="29" customHeight="1">
      <c r="A3" s="1" t="s">
        <v>75</v>
      </c>
      <c r="B3" s="1" t="s">
        <v>76</v>
      </c>
      <c r="C3" s="1" t="s">
        <v>77</v>
      </c>
      <c r="D3" s="1" t="s">
        <v>78</v>
      </c>
      <c r="E3" s="1" t="s">
        <v>79</v>
      </c>
      <c r="F3" s="1" t="s">
        <v>80</v>
      </c>
    </row>
    <row r="4" spans="1:6">
      <c r="A4" t="s">
        <v>81</v>
      </c>
      <c r="B4" t="s">
        <v>82</v>
      </c>
      <c r="C4" s="7">
        <v>15</v>
      </c>
      <c r="D4" s="5">
        <f>Assumptions!B8</f>
        <v>95</v>
      </c>
      <c r="E4" s="5">
        <f t="shared" ref="E4:E28" si="0">C4*D4</f>
        <v>1425</v>
      </c>
      <c r="F4" t="s">
        <v>83</v>
      </c>
    </row>
    <row r="5" spans="1:6">
      <c r="A5" t="s">
        <v>81</v>
      </c>
      <c r="B5" t="s">
        <v>84</v>
      </c>
      <c r="C5" s="7">
        <v>10</v>
      </c>
      <c r="D5" s="5">
        <f>Assumptions!B8</f>
        <v>95</v>
      </c>
      <c r="E5" s="5">
        <f t="shared" si="0"/>
        <v>950</v>
      </c>
      <c r="F5" t="s">
        <v>83</v>
      </c>
    </row>
    <row r="6" spans="1:6">
      <c r="A6" t="s">
        <v>81</v>
      </c>
      <c r="B6" t="s">
        <v>85</v>
      </c>
      <c r="C6" s="7">
        <v>10</v>
      </c>
      <c r="D6" s="5">
        <f>Assumptions!B8</f>
        <v>95</v>
      </c>
      <c r="E6" s="5">
        <f t="shared" si="0"/>
        <v>950</v>
      </c>
      <c r="F6" t="s">
        <v>83</v>
      </c>
    </row>
    <row r="7" spans="1:6">
      <c r="A7" t="s">
        <v>86</v>
      </c>
      <c r="B7" t="s">
        <v>87</v>
      </c>
      <c r="C7" s="7">
        <v>10</v>
      </c>
      <c r="D7" s="5">
        <f>Assumptions!B9</f>
        <v>100</v>
      </c>
      <c r="E7" s="5">
        <f t="shared" si="0"/>
        <v>1000</v>
      </c>
      <c r="F7" t="s">
        <v>83</v>
      </c>
    </row>
    <row r="8" spans="1:6">
      <c r="A8" t="s">
        <v>86</v>
      </c>
      <c r="B8" t="s">
        <v>88</v>
      </c>
      <c r="C8" s="7">
        <v>8</v>
      </c>
      <c r="D8" s="5">
        <f>Assumptions!B9</f>
        <v>100</v>
      </c>
      <c r="E8" s="5">
        <f t="shared" si="0"/>
        <v>800</v>
      </c>
      <c r="F8" t="s">
        <v>83</v>
      </c>
    </row>
    <row r="9" spans="1:6">
      <c r="A9" t="s">
        <v>86</v>
      </c>
      <c r="B9" t="s">
        <v>89</v>
      </c>
      <c r="C9" s="7">
        <v>12</v>
      </c>
      <c r="D9" s="5">
        <f>Assumptions!B9</f>
        <v>100</v>
      </c>
      <c r="E9" s="5">
        <f t="shared" si="0"/>
        <v>1200</v>
      </c>
      <c r="F9" t="s">
        <v>83</v>
      </c>
    </row>
    <row r="10" spans="1:6">
      <c r="A10" t="s">
        <v>90</v>
      </c>
      <c r="B10" t="s">
        <v>91</v>
      </c>
      <c r="C10" s="7">
        <v>10</v>
      </c>
      <c r="D10" s="5">
        <f>Assumptions!B10</f>
        <v>110</v>
      </c>
      <c r="E10" s="5">
        <f t="shared" si="0"/>
        <v>1100</v>
      </c>
      <c r="F10" t="s">
        <v>83</v>
      </c>
    </row>
    <row r="11" spans="1:6">
      <c r="A11" t="s">
        <v>90</v>
      </c>
      <c r="B11" t="s">
        <v>92</v>
      </c>
      <c r="C11" s="7">
        <v>5</v>
      </c>
      <c r="D11" s="5">
        <f>Assumptions!B10</f>
        <v>110</v>
      </c>
      <c r="E11" s="5">
        <f t="shared" si="0"/>
        <v>550</v>
      </c>
      <c r="F11" t="s">
        <v>83</v>
      </c>
    </row>
    <row r="12" spans="1:6">
      <c r="A12" t="s">
        <v>90</v>
      </c>
      <c r="B12" t="s">
        <v>93</v>
      </c>
      <c r="C12" s="7">
        <v>20</v>
      </c>
      <c r="D12" s="5">
        <f>Assumptions!B10</f>
        <v>110</v>
      </c>
      <c r="E12" s="5">
        <f t="shared" si="0"/>
        <v>2200</v>
      </c>
      <c r="F12" t="s">
        <v>83</v>
      </c>
    </row>
    <row r="13" spans="1:6">
      <c r="A13" t="s">
        <v>94</v>
      </c>
      <c r="B13" t="s">
        <v>95</v>
      </c>
      <c r="C13" s="7">
        <v>16</v>
      </c>
      <c r="D13" s="5">
        <f>Assumptions!B11</f>
        <v>100</v>
      </c>
      <c r="E13" s="5">
        <f t="shared" si="0"/>
        <v>1600</v>
      </c>
      <c r="F13" t="s">
        <v>83</v>
      </c>
    </row>
    <row r="14" spans="1:6">
      <c r="A14" t="s">
        <v>94</v>
      </c>
      <c r="B14" t="s">
        <v>96</v>
      </c>
      <c r="C14" s="7">
        <v>22</v>
      </c>
      <c r="D14" s="5">
        <f>Assumptions!B11</f>
        <v>100</v>
      </c>
      <c r="E14" s="5">
        <f t="shared" si="0"/>
        <v>2200</v>
      </c>
      <c r="F14" t="s">
        <v>83</v>
      </c>
    </row>
    <row r="15" spans="1:6">
      <c r="A15" t="s">
        <v>94</v>
      </c>
      <c r="B15" t="s">
        <v>97</v>
      </c>
      <c r="C15" s="7">
        <v>8</v>
      </c>
      <c r="D15" s="5">
        <f>Assumptions!B11</f>
        <v>100</v>
      </c>
      <c r="E15" s="5">
        <f t="shared" si="0"/>
        <v>800</v>
      </c>
      <c r="F15" t="s">
        <v>83</v>
      </c>
    </row>
    <row r="16" spans="1:6">
      <c r="A16" t="s">
        <v>94</v>
      </c>
      <c r="B16" t="s">
        <v>98</v>
      </c>
      <c r="C16" s="7">
        <v>20</v>
      </c>
      <c r="D16" s="5">
        <f>Assumptions!B11</f>
        <v>100</v>
      </c>
      <c r="E16" s="5">
        <f t="shared" si="0"/>
        <v>2000</v>
      </c>
      <c r="F16" t="s">
        <v>83</v>
      </c>
    </row>
    <row r="17" spans="1:6">
      <c r="A17" t="s">
        <v>94</v>
      </c>
      <c r="B17" t="s">
        <v>99</v>
      </c>
      <c r="C17" s="7">
        <v>6</v>
      </c>
      <c r="D17" s="5">
        <f>Assumptions!B11</f>
        <v>100</v>
      </c>
      <c r="E17" s="5">
        <f t="shared" si="0"/>
        <v>600</v>
      </c>
      <c r="F17" t="s">
        <v>83</v>
      </c>
    </row>
    <row r="18" spans="1:6">
      <c r="A18" t="s">
        <v>94</v>
      </c>
      <c r="B18" t="s">
        <v>100</v>
      </c>
      <c r="C18" s="7">
        <v>10</v>
      </c>
      <c r="D18" s="5">
        <f>Assumptions!B11</f>
        <v>100</v>
      </c>
      <c r="E18" s="5">
        <f t="shared" si="0"/>
        <v>1000</v>
      </c>
      <c r="F18" t="s">
        <v>83</v>
      </c>
    </row>
    <row r="19" spans="1:6">
      <c r="A19" t="s">
        <v>94</v>
      </c>
      <c r="B19" t="s">
        <v>101</v>
      </c>
      <c r="C19" s="7">
        <v>8</v>
      </c>
      <c r="D19" s="5">
        <f>Assumptions!B11</f>
        <v>100</v>
      </c>
      <c r="E19" s="5">
        <f t="shared" si="0"/>
        <v>800</v>
      </c>
      <c r="F19" t="s">
        <v>83</v>
      </c>
    </row>
    <row r="20" spans="1:6">
      <c r="A20" t="s">
        <v>94</v>
      </c>
      <c r="B20" t="s">
        <v>102</v>
      </c>
      <c r="C20" s="7">
        <v>6</v>
      </c>
      <c r="D20" s="5">
        <f>Assumptions!B11</f>
        <v>100</v>
      </c>
      <c r="E20" s="5">
        <f t="shared" si="0"/>
        <v>600</v>
      </c>
      <c r="F20" t="s">
        <v>83</v>
      </c>
    </row>
    <row r="21" spans="1:6">
      <c r="A21" t="s">
        <v>94</v>
      </c>
      <c r="B21" t="s">
        <v>103</v>
      </c>
      <c r="C21" s="7">
        <v>4</v>
      </c>
      <c r="D21" s="5">
        <f>Assumptions!B11</f>
        <v>100</v>
      </c>
      <c r="E21" s="5">
        <f t="shared" si="0"/>
        <v>400</v>
      </c>
      <c r="F21" t="s">
        <v>83</v>
      </c>
    </row>
    <row r="22" spans="1:6">
      <c r="A22" t="s">
        <v>104</v>
      </c>
      <c r="B22" t="s">
        <v>105</v>
      </c>
      <c r="C22" s="7">
        <v>10</v>
      </c>
      <c r="D22" s="5">
        <f>Assumptions!B12</f>
        <v>95</v>
      </c>
      <c r="E22" s="5">
        <f t="shared" si="0"/>
        <v>950</v>
      </c>
      <c r="F22" t="s">
        <v>83</v>
      </c>
    </row>
    <row r="23" spans="1:6">
      <c r="A23" t="s">
        <v>104</v>
      </c>
      <c r="B23" t="s">
        <v>106</v>
      </c>
      <c r="C23" s="7">
        <v>12</v>
      </c>
      <c r="D23" s="5">
        <f>Assumptions!B12</f>
        <v>95</v>
      </c>
      <c r="E23" s="5">
        <f t="shared" si="0"/>
        <v>1140</v>
      </c>
      <c r="F23" t="s">
        <v>83</v>
      </c>
    </row>
    <row r="24" spans="1:6">
      <c r="A24" t="s">
        <v>104</v>
      </c>
      <c r="B24" t="s">
        <v>107</v>
      </c>
      <c r="C24" s="7">
        <v>9</v>
      </c>
      <c r="D24" s="5">
        <f>Assumptions!B12</f>
        <v>95</v>
      </c>
      <c r="E24" s="5">
        <f t="shared" si="0"/>
        <v>855</v>
      </c>
      <c r="F24" t="s">
        <v>83</v>
      </c>
    </row>
    <row r="25" spans="1:6">
      <c r="A25" t="s">
        <v>104</v>
      </c>
      <c r="B25" t="s">
        <v>108</v>
      </c>
      <c r="C25" s="7">
        <v>4</v>
      </c>
      <c r="D25" s="5">
        <f>Assumptions!B12</f>
        <v>95</v>
      </c>
      <c r="E25" s="5">
        <f t="shared" si="0"/>
        <v>380</v>
      </c>
      <c r="F25" t="s">
        <v>83</v>
      </c>
    </row>
    <row r="26" spans="1:6">
      <c r="A26" t="s">
        <v>109</v>
      </c>
      <c r="B26" t="s">
        <v>110</v>
      </c>
      <c r="C26" s="7">
        <v>12</v>
      </c>
      <c r="D26" s="5">
        <f>Assumptions!B13</f>
        <v>75</v>
      </c>
      <c r="E26" s="5">
        <f t="shared" si="0"/>
        <v>900</v>
      </c>
      <c r="F26" t="s">
        <v>83</v>
      </c>
    </row>
    <row r="27" spans="1:6">
      <c r="A27" t="s">
        <v>109</v>
      </c>
      <c r="B27" t="s">
        <v>111</v>
      </c>
      <c r="C27" s="7">
        <v>8</v>
      </c>
      <c r="D27" s="5">
        <f>Assumptions!B13</f>
        <v>75</v>
      </c>
      <c r="E27" s="5">
        <f t="shared" si="0"/>
        <v>600</v>
      </c>
      <c r="F27" t="s">
        <v>83</v>
      </c>
    </row>
    <row r="28" spans="1:6">
      <c r="A28" t="s">
        <v>109</v>
      </c>
      <c r="B28" t="s">
        <v>112</v>
      </c>
      <c r="C28" s="7">
        <v>5</v>
      </c>
      <c r="D28" s="5">
        <f>Assumptions!B13</f>
        <v>75</v>
      </c>
      <c r="E28" s="5">
        <f t="shared" si="0"/>
        <v>375</v>
      </c>
      <c r="F28" t="s">
        <v>83</v>
      </c>
    </row>
    <row r="29" spans="1:6" ht="15">
      <c r="A29" s="3" t="s">
        <v>113</v>
      </c>
      <c r="B29" s="3"/>
      <c r="C29" s="4">
        <f>SUM(C4:C28)</f>
        <v>260</v>
      </c>
      <c r="D29" s="6"/>
      <c r="E29" s="6">
        <f>SUM(E4:E28)</f>
        <v>25375</v>
      </c>
      <c r="F29" s="3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4"/>
  <cols>
    <col min="1" max="1" width="30" customWidth="1"/>
    <col min="2" max="2" width="18" customWidth="1"/>
    <col min="3" max="3" width="22" customWidth="1"/>
    <col min="4" max="4" width="24" customWidth="1"/>
    <col min="5" max="5" width="22" customWidth="1"/>
    <col min="6" max="6" width="55" customWidth="1"/>
  </cols>
  <sheetData>
    <row r="1" spans="1:6" ht="34" customHeight="1">
      <c r="A1" s="11" t="s">
        <v>114</v>
      </c>
      <c r="B1" s="11"/>
      <c r="C1" s="11"/>
      <c r="D1" s="11"/>
      <c r="E1" s="11"/>
      <c r="F1" s="11"/>
    </row>
    <row r="3" spans="1:6" ht="29" customHeight="1">
      <c r="A3" s="1" t="s">
        <v>115</v>
      </c>
      <c r="B3" s="1" t="s">
        <v>116</v>
      </c>
      <c r="C3" s="1" t="s">
        <v>117</v>
      </c>
      <c r="D3" s="1" t="s">
        <v>118</v>
      </c>
      <c r="E3" s="1" t="s">
        <v>79</v>
      </c>
      <c r="F3" s="1" t="s">
        <v>119</v>
      </c>
    </row>
    <row r="4" spans="1:6">
      <c r="A4" t="s">
        <v>120</v>
      </c>
      <c r="B4">
        <v>4</v>
      </c>
      <c r="C4" s="5">
        <v>2000</v>
      </c>
      <c r="D4" s="5">
        <v>0.75</v>
      </c>
      <c r="E4" s="5">
        <f>ROUND(B4*C4*D4/Assumptions!B15,2)</f>
        <v>166.67</v>
      </c>
      <c r="F4" t="s">
        <v>121</v>
      </c>
    </row>
    <row r="5" spans="1:6">
      <c r="A5" t="s">
        <v>122</v>
      </c>
      <c r="B5">
        <v>4</v>
      </c>
      <c r="C5" s="5">
        <v>15</v>
      </c>
      <c r="D5" s="5">
        <v>3</v>
      </c>
      <c r="E5" s="5">
        <f>B5*C5*D5</f>
        <v>180</v>
      </c>
      <c r="F5" t="s">
        <v>123</v>
      </c>
    </row>
    <row r="6" spans="1:6">
      <c r="A6" t="s">
        <v>124</v>
      </c>
      <c r="B6">
        <v>4</v>
      </c>
      <c r="C6" s="5">
        <v>2</v>
      </c>
      <c r="D6" s="5">
        <v>3</v>
      </c>
      <c r="E6" s="5">
        <f>B6*C6*D6</f>
        <v>24</v>
      </c>
      <c r="F6" t="s">
        <v>123</v>
      </c>
    </row>
    <row r="7" spans="1:6">
      <c r="A7" t="s">
        <v>125</v>
      </c>
      <c r="B7">
        <v>4</v>
      </c>
      <c r="C7" s="5">
        <v>3</v>
      </c>
      <c r="D7" s="5">
        <v>3</v>
      </c>
      <c r="E7" s="5">
        <f>B7*C7*D7</f>
        <v>36</v>
      </c>
      <c r="F7" t="s">
        <v>123</v>
      </c>
    </row>
    <row r="8" spans="1:6">
      <c r="A8" t="s">
        <v>126</v>
      </c>
      <c r="B8">
        <v>1</v>
      </c>
      <c r="C8" s="5">
        <v>0</v>
      </c>
      <c r="D8" s="5">
        <v>1</v>
      </c>
      <c r="E8" s="5">
        <f>B8*C8*D8</f>
        <v>0</v>
      </c>
      <c r="F8" t="s">
        <v>127</v>
      </c>
    </row>
    <row r="9" spans="1:6" ht="15">
      <c r="A9" s="3" t="s">
        <v>128</v>
      </c>
      <c r="B9" s="3"/>
      <c r="C9" s="6"/>
      <c r="D9" s="6"/>
      <c r="E9" s="6">
        <f>SUM(E4:E8)</f>
        <v>406.66999999999996</v>
      </c>
      <c r="F9" s="3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pane ySplit="3" topLeftCell="A4" activePane="bottomLeft" state="frozen"/>
      <selection pane="bottomLeft" sqref="A1:D1"/>
    </sheetView>
  </sheetViews>
  <sheetFormatPr baseColWidth="10" defaultColWidth="8.83203125" defaultRowHeight="14"/>
  <cols>
    <col min="1" max="1" width="34" customWidth="1"/>
    <col min="2" max="2" width="48" customWidth="1"/>
    <col min="3" max="3" width="20" customWidth="1"/>
    <col min="4" max="4" width="60" customWidth="1"/>
  </cols>
  <sheetData>
    <row r="1" spans="1:4" ht="34" customHeight="1">
      <c r="A1" s="11" t="s">
        <v>129</v>
      </c>
      <c r="B1" s="11"/>
      <c r="C1" s="11"/>
      <c r="D1" s="11"/>
    </row>
    <row r="3" spans="1:4" ht="29" customHeight="1">
      <c r="A3" s="1" t="s">
        <v>130</v>
      </c>
      <c r="B3" s="1" t="s">
        <v>131</v>
      </c>
      <c r="C3" s="1" t="s">
        <v>79</v>
      </c>
      <c r="D3" s="1" t="s">
        <v>132</v>
      </c>
    </row>
    <row r="4" spans="1:4">
      <c r="A4" t="s">
        <v>133</v>
      </c>
      <c r="B4" t="s">
        <v>134</v>
      </c>
      <c r="C4">
        <v>0</v>
      </c>
      <c r="D4" t="s">
        <v>135</v>
      </c>
    </row>
    <row r="5" spans="1:4">
      <c r="A5" t="s">
        <v>136</v>
      </c>
      <c r="B5" t="s">
        <v>137</v>
      </c>
      <c r="C5">
        <v>0</v>
      </c>
      <c r="D5" t="s">
        <v>135</v>
      </c>
    </row>
    <row r="6" spans="1:4">
      <c r="A6" t="s">
        <v>138</v>
      </c>
      <c r="B6" t="s">
        <v>139</v>
      </c>
      <c r="C6">
        <v>0</v>
      </c>
      <c r="D6" t="s">
        <v>135</v>
      </c>
    </row>
    <row r="7" spans="1:4">
      <c r="A7" t="s">
        <v>140</v>
      </c>
      <c r="B7" t="s">
        <v>141</v>
      </c>
      <c r="C7">
        <v>0</v>
      </c>
      <c r="D7" t="s">
        <v>135</v>
      </c>
    </row>
    <row r="8" spans="1:4">
      <c r="A8" t="s">
        <v>142</v>
      </c>
      <c r="B8" t="s">
        <v>143</v>
      </c>
      <c r="C8">
        <v>0</v>
      </c>
      <c r="D8" t="s">
        <v>135</v>
      </c>
    </row>
    <row r="9" spans="1:4">
      <c r="A9" t="s">
        <v>144</v>
      </c>
      <c r="B9" t="s">
        <v>145</v>
      </c>
      <c r="C9">
        <v>0</v>
      </c>
      <c r="D9" t="s">
        <v>135</v>
      </c>
    </row>
    <row r="10" spans="1:4">
      <c r="A10" t="s">
        <v>146</v>
      </c>
      <c r="B10" t="s">
        <v>147</v>
      </c>
      <c r="C10">
        <v>0</v>
      </c>
      <c r="D10" t="s">
        <v>135</v>
      </c>
    </row>
    <row r="11" spans="1:4">
      <c r="A11" t="s">
        <v>148</v>
      </c>
      <c r="B11" t="s">
        <v>149</v>
      </c>
      <c r="C11">
        <v>0</v>
      </c>
      <c r="D11" t="s">
        <v>135</v>
      </c>
    </row>
    <row r="12" spans="1:4">
      <c r="A12" t="s">
        <v>150</v>
      </c>
      <c r="B12" t="s">
        <v>151</v>
      </c>
      <c r="C12">
        <v>0</v>
      </c>
      <c r="D12" t="s">
        <v>135</v>
      </c>
    </row>
    <row r="13" spans="1:4">
      <c r="A13" t="s">
        <v>152</v>
      </c>
      <c r="B13" t="s">
        <v>153</v>
      </c>
      <c r="C13">
        <v>0</v>
      </c>
      <c r="D13" t="s">
        <v>135</v>
      </c>
    </row>
    <row r="14" spans="1:4" ht="15">
      <c r="A14" s="3" t="s">
        <v>154</v>
      </c>
      <c r="B14" s="3"/>
      <c r="C14" s="3">
        <f>SUM(C4:C13)</f>
        <v>0</v>
      </c>
      <c r="D14" s="3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zoomScale="110" workbookViewId="0">
      <pane ySplit="3" topLeftCell="A4" activePane="bottomLeft" state="frozen"/>
      <selection pane="bottomLeft" activeCell="J23" sqref="J23"/>
    </sheetView>
  </sheetViews>
  <sheetFormatPr baseColWidth="10" defaultColWidth="8.83203125" defaultRowHeight="14"/>
  <cols>
    <col min="1" max="1" width="40" customWidth="1"/>
    <col min="2" max="2" width="24" customWidth="1"/>
    <col min="3" max="3" width="22" customWidth="1"/>
    <col min="4" max="4" width="65" customWidth="1"/>
  </cols>
  <sheetData>
    <row r="1" spans="1:4" ht="34" customHeight="1">
      <c r="A1" s="11" t="s">
        <v>155</v>
      </c>
      <c r="B1" s="11"/>
      <c r="C1" s="11"/>
      <c r="D1" s="11"/>
    </row>
    <row r="3" spans="1:4" ht="29" customHeight="1">
      <c r="A3" s="1" t="s">
        <v>156</v>
      </c>
      <c r="B3" s="1" t="s">
        <v>79</v>
      </c>
      <c r="C3" s="1" t="s">
        <v>157</v>
      </c>
      <c r="D3" s="1" t="s">
        <v>158</v>
      </c>
    </row>
    <row r="4" spans="1:4">
      <c r="A4" t="s">
        <v>159</v>
      </c>
      <c r="B4" s="5">
        <f>'Labour Cost'!E29</f>
        <v>25375</v>
      </c>
      <c r="C4" s="8">
        <f>IFERROR(B4/$B$7,0)</f>
        <v>0.9842263902997751</v>
      </c>
      <c r="D4" t="s">
        <v>160</v>
      </c>
    </row>
    <row r="5" spans="1:4">
      <c r="A5" t="s">
        <v>161</v>
      </c>
      <c r="B5" s="5">
        <f>Tools!C14</f>
        <v>0</v>
      </c>
      <c r="C5" s="8">
        <f>IFERROR(B5/$B$7,0)</f>
        <v>0</v>
      </c>
      <c r="D5" t="s">
        <v>162</v>
      </c>
    </row>
    <row r="6" spans="1:4">
      <c r="A6" t="s">
        <v>163</v>
      </c>
      <c r="B6" s="5">
        <f>Resources!E9</f>
        <v>406.66999999999996</v>
      </c>
      <c r="C6" s="8">
        <f>IFERROR(B6/$B$7,0)</f>
        <v>1.5773609700225004E-2</v>
      </c>
      <c r="D6" t="s">
        <v>164</v>
      </c>
    </row>
    <row r="7" spans="1:4" ht="15">
      <c r="A7" s="3" t="s">
        <v>165</v>
      </c>
      <c r="B7" s="6">
        <f>SUM(B4:B6)</f>
        <v>25781.67</v>
      </c>
      <c r="C7" s="3"/>
      <c r="D7" s="3" t="s">
        <v>166</v>
      </c>
    </row>
    <row r="8" spans="1:4">
      <c r="A8" t="s">
        <v>167</v>
      </c>
      <c r="B8" s="5">
        <f>ROUND(B7*Assumptions!B20,2)</f>
        <v>2578.17</v>
      </c>
      <c r="D8" t="s">
        <v>168</v>
      </c>
    </row>
    <row r="9" spans="1:4" ht="15">
      <c r="A9" s="3" t="s">
        <v>169</v>
      </c>
      <c r="B9" s="6">
        <f>SUM(B7:B8)</f>
        <v>28359.839999999997</v>
      </c>
      <c r="C9" s="3"/>
      <c r="D9" s="3" t="s">
        <v>170</v>
      </c>
    </row>
    <row r="12" spans="1:4">
      <c r="A12" t="s">
        <v>171</v>
      </c>
      <c r="B12" t="s">
        <v>79</v>
      </c>
    </row>
    <row r="13" spans="1:4">
      <c r="A13" t="s">
        <v>81</v>
      </c>
      <c r="B13" s="5">
        <f>SUMIF('Labour Cost'!A4:A28,A13,'Labour Cost'!E4:E28)</f>
        <v>3325</v>
      </c>
    </row>
    <row r="14" spans="1:4">
      <c r="A14" t="s">
        <v>86</v>
      </c>
      <c r="B14" s="5">
        <f>SUMIF('Labour Cost'!A4:A28,A14,'Labour Cost'!E4:E28)</f>
        <v>3000</v>
      </c>
    </row>
    <row r="15" spans="1:4">
      <c r="A15" t="s">
        <v>90</v>
      </c>
      <c r="B15" s="5">
        <f>SUMIF('Labour Cost'!A4:A28,A15,'Labour Cost'!E4:E28)</f>
        <v>3850</v>
      </c>
    </row>
    <row r="16" spans="1:4">
      <c r="A16" t="s">
        <v>94</v>
      </c>
      <c r="B16" s="5">
        <f>SUMIF('Labour Cost'!A4:A28,A16,'Labour Cost'!E4:E28)</f>
        <v>10000</v>
      </c>
    </row>
    <row r="17" spans="1:2">
      <c r="A17" t="s">
        <v>104</v>
      </c>
      <c r="B17" s="5">
        <f>SUMIF('Labour Cost'!A4:A28,A17,'Labour Cost'!E4:E28)</f>
        <v>3325</v>
      </c>
    </row>
    <row r="18" spans="1:2">
      <c r="A18" t="s">
        <v>109</v>
      </c>
      <c r="B18" s="5">
        <f>SUMIF('Labour Cost'!A4:A28,A18,'Labour Cost'!E4:E28)</f>
        <v>1875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pane ySplit="3" topLeftCell="A4" activePane="bottomLeft" state="frozen"/>
      <selection pane="bottomLeft" sqref="A1:E1"/>
    </sheetView>
  </sheetViews>
  <sheetFormatPr baseColWidth="10" defaultColWidth="8.83203125" defaultRowHeight="14"/>
  <cols>
    <col min="1" max="1" width="36" customWidth="1"/>
    <col min="2" max="2" width="22" customWidth="1"/>
    <col min="3" max="4" width="24" customWidth="1"/>
    <col min="5" max="5" width="32" customWidth="1"/>
  </cols>
  <sheetData>
    <row r="1" spans="1:5" ht="34" customHeight="1">
      <c r="A1" s="11" t="s">
        <v>172</v>
      </c>
      <c r="B1" s="11"/>
      <c r="C1" s="11"/>
      <c r="D1" s="11"/>
      <c r="E1" s="11"/>
    </row>
    <row r="3" spans="1:5" ht="29" customHeight="1">
      <c r="A3" s="1" t="s">
        <v>173</v>
      </c>
      <c r="B3" s="1" t="s">
        <v>174</v>
      </c>
      <c r="C3" s="1" t="s">
        <v>175</v>
      </c>
      <c r="D3" s="1" t="s">
        <v>176</v>
      </c>
      <c r="E3" s="1" t="s">
        <v>177</v>
      </c>
    </row>
    <row r="4" spans="1:5">
      <c r="A4" t="s">
        <v>178</v>
      </c>
      <c r="B4" s="9">
        <f>1-Assumptions!B21</f>
        <v>0.9</v>
      </c>
      <c r="C4" s="5">
        <f>'Cost Summary'!B4*B4</f>
        <v>22837.5</v>
      </c>
      <c r="D4" s="5">
        <f>C4+'Cost Summary'!B5+'Cost Summary'!B6</f>
        <v>23244.17</v>
      </c>
      <c r="E4" s="5">
        <f>D4*(1+Assumptions!B20)</f>
        <v>25568.587</v>
      </c>
    </row>
    <row r="5" spans="1:5">
      <c r="A5" t="s">
        <v>179</v>
      </c>
      <c r="B5" s="9">
        <f>1</f>
        <v>1</v>
      </c>
      <c r="C5" s="5">
        <f>'Cost Summary'!B4*B5</f>
        <v>25375</v>
      </c>
      <c r="D5" s="5">
        <f>C5+'Cost Summary'!B5+'Cost Summary'!B6</f>
        <v>25781.67</v>
      </c>
      <c r="E5" s="5">
        <f>D5*(1+Assumptions!B20)</f>
        <v>28359.837</v>
      </c>
    </row>
    <row r="6" spans="1:5">
      <c r="A6" t="s">
        <v>180</v>
      </c>
      <c r="B6" s="9">
        <f>1+Assumptions!B21</f>
        <v>1.1000000000000001</v>
      </c>
      <c r="C6" s="5">
        <f>'Cost Summary'!B4*B6</f>
        <v>27912.500000000004</v>
      </c>
      <c r="D6" s="5">
        <f>C6+'Cost Summary'!B5+'Cost Summary'!B6</f>
        <v>28319.170000000002</v>
      </c>
      <c r="E6" s="5">
        <f>D6*(1+Assumptions!B20)</f>
        <v>31151.087000000003</v>
      </c>
    </row>
    <row r="9" spans="1:5">
      <c r="A9" t="s">
        <v>181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Sources &amp; Method</vt:lpstr>
      <vt:lpstr>Assumptions</vt:lpstr>
      <vt:lpstr>Jira Workload</vt:lpstr>
      <vt:lpstr>Labour Cost</vt:lpstr>
      <vt:lpstr>Resources</vt:lpstr>
      <vt:lpstr>Tools</vt:lpstr>
      <vt:lpstr>Cost Summary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Huanchen Wu</cp:lastModifiedBy>
  <dcterms:modified xsi:type="dcterms:W3CDTF">2026-10-27T04:33:08Z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2026-10-27T03:48:58Z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cd4ff142-56e4-4871-b759-f3a350245d31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50, 3, 0, 1</vt:lpwstr>
  </property>
</Properties>
</file>